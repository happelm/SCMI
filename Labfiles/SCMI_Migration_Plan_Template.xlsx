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1 Assessment" sheetId="2" state="visible" r:id="rId4"/>
    <sheet name="2 Target state" sheetId="3" state="visible" r:id="rId5"/>
    <sheet name="3 Waves" sheetId="4" state="visible" r:id="rId6"/>
    <sheet name="4 Risks" sheetId="5" state="visible" r:id="rId7"/>
    <sheet name="5 Phases" sheetId="6" state="visible" r:id="rId8"/>
    <sheet name="App track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<sst xmlns="http://schemas.openxmlformats.org/spreadsheetml/2006/main" count="269" uniqueCount="228">
  <si>
    <t xml:space="preserve">SCMI – Migration plan</t>
  </si>
  <si>
    <t xml:space="preserve">ConfigMgr → Microsoft Intune · worksheet for Module 15 – and for your project afterwards</t>
  </si>
  <si>
    <t xml:space="preserve">Company / environment</t>
  </si>
  <si>
    <t xml:space="preserve">Author</t>
  </si>
  <si>
    <t xml:space="preserve">Date</t>
  </si>
  <si>
    <t xml:space="preserve">Version</t>
  </si>
  <si>
    <t xml:space="preserve">0.1</t>
  </si>
  <si>
    <t xml:space="preserve">How to use</t>
  </si>
  <si>
    <t xml:space="preserve">Yellow cells</t>
  </si>
  <si>
    <t xml:space="preserve">Your input. Everything else is a label, a formula or an example.</t>
  </si>
  <si>
    <t xml:space="preserve">Grey rows</t>
  </si>
  <si>
    <t xml:space="preserve">Example values from the SCMI lab pod – overwrite or delete them.</t>
  </si>
  <si>
    <t xml:space="preserve">Dropdowns</t>
  </si>
  <si>
    <t xml:space="preserve">Workload authority, routes, status and ratings are lists – pick, do not type.</t>
  </si>
  <si>
    <t xml:space="preserve">Steps (35 min in the course)</t>
  </si>
  <si>
    <t xml:space="preserve">1 Assessment</t>
  </si>
  <si>
    <t xml:space="preserve">Counts that drive the effort – devices, apps / deployment types, GPOs, collections (M1).</t>
  </si>
  <si>
    <t xml:space="preserve">2 Target state</t>
  </si>
  <si>
    <t xml:space="preserve">Join type per device population, authority per workload, what stays in ConfigMgr (M2–M5, M12).</t>
  </si>
  <si>
    <t xml:space="preserve">3 Waves</t>
  </si>
  <si>
    <t xml:space="preserve">First three waves: scope, workloads, rollback owner, go and rollback criteria (M5, M13).</t>
  </si>
  <si>
    <t xml:space="preserve">4 Risks</t>
  </si>
  <si>
    <t xml:space="preserve">Top five risks with mitigation and owner – score is calculated.</t>
  </si>
  <si>
    <t xml:space="preserve">5 Phases</t>
  </si>
  <si>
    <t xml:space="preserve">Six phases with exit criteria and target dates – including the clean sweep (M13).</t>
  </si>
  <si>
    <t xml:space="preserve">App tracking</t>
  </si>
  <si>
    <t xml:space="preserve">Optional in the course: the factory tracking sheet from M10 for your project.</t>
  </si>
  <si>
    <t xml:space="preserve">Summary (calculated)</t>
  </si>
  <si>
    <t xml:space="preserve">Deployment types (assessment)</t>
  </si>
  <si>
    <t xml:space="preserve">Waves planned</t>
  </si>
  <si>
    <t xml:space="preserve">Risks with score ≥ 6</t>
  </si>
  <si>
    <t xml:space="preserve">Phases with exit met</t>
  </si>
  <si>
    <t xml:space="preserve">Apps tracked</t>
  </si>
  <si>
    <t xml:space="preserve">Apps to retire</t>
  </si>
  <si>
    <t xml:space="preserve">Clean sweep target date</t>
  </si>
  <si>
    <t xml:space="preserve">Counts include the grey example rows until you delete them.</t>
  </si>
  <si>
    <t xml:space="preserve">1 · Assessment summary</t>
  </si>
  <si>
    <t xml:space="preserve">Counts from your site and tenant. Lab column = SCMI pod values for comparison (M1).</t>
  </si>
  <si>
    <t xml:space="preserve">Area</t>
  </si>
  <si>
    <t xml:space="preserve">Metric</t>
  </si>
  <si>
    <t xml:space="preserve">Where to get it</t>
  </si>
  <si>
    <t xml:space="preserve">Your value</t>
  </si>
  <si>
    <t xml:space="preserve">Lab (SCMI pod)</t>
  </si>
  <si>
    <t xml:space="preserve">Notes</t>
  </si>
  <si>
    <t xml:space="preserve">Devices</t>
  </si>
  <si>
    <t xml:space="preserve">Devices with ConfigMgr client</t>
  </si>
  <si>
    <t xml:space="preserve">Console → Devices, Client = Yes</t>
  </si>
  <si>
    <t xml:space="preserve">Hybrid joined</t>
  </si>
  <si>
    <t xml:space="preserve">Entra → Devices, join type</t>
  </si>
  <si>
    <t xml:space="preserve">Entra joined</t>
  </si>
  <si>
    <t xml:space="preserve">Domain joined only (not in Entra)</t>
  </si>
  <si>
    <t xml:space="preserve">AD minus Entra – sync scope gaps</t>
  </si>
  <si>
    <t xml:space="preserve">Devices that cannot be cloud-managed</t>
  </si>
  <si>
    <t xml:space="preserve">Air-gapped, regulated, special hardware</t>
  </si>
  <si>
    <t xml:space="preserve">Applications</t>
  </si>
  <si>
    <t xml:space="preserve">Software Library → Applications</t>
  </si>
  <si>
    <t xml:space="preserve">Deployment types</t>
  </si>
  <si>
    <t xml:space="preserve">Deployment Types tab – the unit of effort (M1)</t>
  </si>
  <si>
    <t xml:space="preserve">Applications without active deployment</t>
  </si>
  <si>
    <t xml:space="preserve">Deployments column = 0</t>
  </si>
  <si>
    <t xml:space="preserve">Packages / programs</t>
  </si>
  <si>
    <t xml:space="preserve">Software Library → Packages</t>
  </si>
  <si>
    <t xml:space="preserve">1 / 2</t>
  </si>
  <si>
    <t xml:space="preserve">Task sequences (non-OSD)</t>
  </si>
  <si>
    <t xml:space="preserve">App chains, custom logic</t>
  </si>
  <si>
    <t xml:space="preserve">Policies</t>
  </si>
  <si>
    <t xml:space="preserve">GPOs linked to workstation OUs</t>
  </si>
  <si>
    <t xml:space="preserve">GPMC</t>
  </si>
  <si>
    <t xml:space="preserve">GPO settings without MDM support</t>
  </si>
  <si>
    <t xml:space="preserve">Group Policy analytics (M6)</t>
  </si>
  <si>
    <t xml:space="preserve">Configuration baselines / CIs</t>
  </si>
  <si>
    <t xml:space="preserve">Assets and Compliance → Compliance Settings</t>
  </si>
  <si>
    <t xml:space="preserve">2 / 4</t>
  </si>
  <si>
    <t xml:space="preserve">Custom client settings</t>
  </si>
  <si>
    <t xml:space="preserve">Administration → Client Settings</t>
  </si>
  <si>
    <t xml:space="preserve">Targeting</t>
  </si>
  <si>
    <t xml:space="preserve">Device collections</t>
  </si>
  <si>
    <t xml:space="preserve">Assets and Compliance → Device Collections</t>
  </si>
  <si>
    <t xml:space="preserve">Collections based on inventory</t>
  </si>
  <si>
    <t xml:space="preserve">Queries joining SMS_G_System_* (M8)</t>
  </si>
  <si>
    <t xml:space="preserve">Collections with maintenance windows</t>
  </si>
  <si>
    <t xml:space="preserve">Collection properties</t>
  </si>
  <si>
    <t xml:space="preserve">Content</t>
  </si>
  <si>
    <t xml:space="preserve">Distribution points / boundary groups</t>
  </si>
  <si>
    <t xml:space="preserve">Administration → Distribution Points / Boundary Groups</t>
  </si>
  <si>
    <t xml:space="preserve">Sites with thin lines</t>
  </si>
  <si>
    <t xml:space="preserve">Network team</t>
  </si>
  <si>
    <t xml:space="preserve">Other</t>
  </si>
  <si>
    <t xml:space="preserve">Custom reports, integrations on the site DB</t>
  </si>
  <si>
    <t xml:space="preserve">SSRS, Power BI, scripts, CMDB feeds</t>
  </si>
  <si>
    <t xml:space="preserve">2 · Target state</t>
  </si>
  <si>
    <t xml:space="preserve">Who is managed how – and by whom – when the migration is done.</t>
  </si>
  <si>
    <t xml:space="preserve">Device population</t>
  </si>
  <si>
    <t xml:space="preserve">Join type today</t>
  </si>
  <si>
    <t xml:space="preserve">Target join type</t>
  </si>
  <si>
    <t xml:space="preserve">Path (M12)</t>
  </si>
  <si>
    <t xml:space="preserve">Example: Sales laptops</t>
  </si>
  <si>
    <t xml:space="preserve">Keep hybrid until refresh</t>
  </si>
  <si>
    <t xml:space="preserve">Refresh cycle Q3, new devices via Autopilot</t>
  </si>
  <si>
    <t xml:space="preserve">Workload authority</t>
  </si>
  <si>
    <t xml:space="preserve">Workload</t>
  </si>
  <si>
    <t xml:space="preserve">Today</t>
  </si>
  <si>
    <t xml:space="preserve">Target</t>
  </si>
  <si>
    <t xml:space="preserve">Planned in wave</t>
  </si>
  <si>
    <t xml:space="preserve">Dependency / prerequisite</t>
  </si>
  <si>
    <t xml:space="preserve">Compliance policies</t>
  </si>
  <si>
    <t xml:space="preserve">ConfigMgr</t>
  </si>
  <si>
    <t xml:space="preserve">Conditional Access design</t>
  </si>
  <si>
    <t xml:space="preserve">Endpoint Protection</t>
  </si>
  <si>
    <t xml:space="preserve">Defender onboarding, AV/firewall policies</t>
  </si>
  <si>
    <t xml:space="preserve">Device configuration</t>
  </si>
  <si>
    <t xml:space="preserve">GPO analysis, settings catalog profiles (M6)</t>
  </si>
  <si>
    <t xml:space="preserve">Resource access</t>
  </si>
  <si>
    <t xml:space="preserve">Moves with Device configuration</t>
  </si>
  <si>
    <t xml:space="preserve">Windows Update policies</t>
  </si>
  <si>
    <t xml:space="preserve">Rings, Autopatch decision (M11)</t>
  </si>
  <si>
    <t xml:space="preserve">Office Click-to-Run apps</t>
  </si>
  <si>
    <t xml:space="preserve">M365 Apps update channel</t>
  </si>
  <si>
    <t xml:space="preserve">Client apps</t>
  </si>
  <si>
    <t xml:space="preserve">App catalogue complete (M10)</t>
  </si>
  <si>
    <t xml:space="preserve">Stays in ConfigMgr (scope, owner, end date)</t>
  </si>
  <si>
    <t xml:space="preserve">Scope</t>
  </si>
  <si>
    <t xml:space="preserve">Reason</t>
  </si>
  <si>
    <t xml:space="preserve">Owner</t>
  </si>
  <si>
    <t xml:space="preserve">End date / review</t>
  </si>
  <si>
    <t xml:space="preserve">Example: Windows Server</t>
  </si>
  <si>
    <t xml:space="preserve">Server patching</t>
  </si>
  <si>
    <t xml:space="preserve">Server team</t>
  </si>
  <si>
    <t xml:space="preserve">Review 2027 – Azure Arc</t>
  </si>
  <si>
    <t xml:space="preserve">3 · Wave plan</t>
  </si>
  <si>
    <t xml:space="preserve">One row per wave. Every wave needs a rollback owner and criteria agreed before it starts (M13).</t>
  </si>
  <si>
    <t xml:space="preserve">Order of workloads in the course: Compliance → Endpoint Protection → Device configuration → Windows Update → Office C2R → Client apps. Microsoft allows any order.</t>
  </si>
  <si>
    <t xml:space="preserve">Wave</t>
  </si>
  <si>
    <t xml:space="preserve">Start</t>
  </si>
  <si>
    <t xml:space="preserve">End</t>
  </si>
  <si>
    <t xml:space="preserve">Scope (devices / users)</t>
  </si>
  <si>
    <t xml:space="preserve">Workloads moved</t>
  </si>
  <si>
    <t xml:space="preserve">Required apps ready</t>
  </si>
  <si>
    <t xml:space="preserve">Staging collection</t>
  </si>
  <si>
    <t xml:space="preserve">Entra group</t>
  </si>
  <si>
    <t xml:space="preserve">Rollback owner</t>
  </si>
  <si>
    <t xml:space="preserve">Go criteria</t>
  </si>
  <si>
    <t xml:space="preserve">Rollback criteria</t>
  </si>
  <si>
    <t xml:space="preserve">Status</t>
  </si>
  <si>
    <t xml:space="preserve">0</t>
  </si>
  <si>
    <t xml:space="preserve">2026-11-02</t>
  </si>
  <si>
    <t xml:space="preserve">2026-11-13</t>
  </si>
  <si>
    <t xml:space="preserve">IT pilot – Vienna HQ</t>
  </si>
  <si>
    <t xml:space="preserve">Compliance, Endpoint Protection</t>
  </si>
  <si>
    <t xml:space="preserve">Yes</t>
  </si>
  <si>
    <t xml:space="preserve">Pilot-CoMgmt</t>
  </si>
  <si>
    <t xml:space="preserve">SCMI-DEV-Ring-Pilot</t>
  </si>
  <si>
    <t xml:space="preserve">Workplace lead</t>
  </si>
  <si>
    <t xml:space="preserve">No P1 tickets, compliance ≥ 95 %</t>
  </si>
  <si>
    <t xml:space="preserve">&gt; 3 P2 tickets / day or CA lockouts</t>
  </si>
  <si>
    <t xml:space="preserve">Planned</t>
  </si>
  <si>
    <t xml:space="preserve">4 · Top risks</t>
  </si>
  <si>
    <t xml:space="preserve">Likelihood and impact 1 (low) – 3 (high). Score = likelihood × impact, ≥ 6 is highlighted.</t>
  </si>
  <si>
    <t xml:space="preserve">ID</t>
  </si>
  <si>
    <t xml:space="preserve">Risk</t>
  </si>
  <si>
    <t xml:space="preserve">Category</t>
  </si>
  <si>
    <t xml:space="preserve">Likelihood</t>
  </si>
  <si>
    <t xml:space="preserve">Impact</t>
  </si>
  <si>
    <t xml:space="preserve">Score</t>
  </si>
  <si>
    <t xml:space="preserve">Mitigation</t>
  </si>
  <si>
    <t xml:space="preserve">Course ref</t>
  </si>
  <si>
    <t xml:space="preserve">R0</t>
  </si>
  <si>
    <t xml:space="preserve">App catalogue not ready when Client apps should move</t>
  </si>
  <si>
    <t xml:space="preserve">Factory with tracking sheet, retire first, PSADT template</t>
  </si>
  <si>
    <t xml:space="preserve">App owner</t>
  </si>
  <si>
    <t xml:space="preserve">M10</t>
  </si>
  <si>
    <t xml:space="preserve">Open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</si>
  <si>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</si>
  <si>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</si>
  <si>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</si>
  <si>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</si>
  <si>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</si>
  <si>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Starting points from the course</t>
  </si>
  <si>
    <t xml:space="preserve">Wave breaks productive devices → pilot rings, rollback levels (M13)</t>
  </si>
  <si>
    <t xml:space="preserve">Conflicting configuration → one setting, one owner, GPO scoping (M7)</t>
  </si>
  <si>
    <t xml:space="preserve">Identity problems block enrollment → hybrid join chain per wave (M2)</t>
  </si>
  <si>
    <t xml:space="preserve">Co-management becomes permanent → clean sweep with end date (M13)</t>
  </si>
  <si>
    <t xml:space="preserve">Late veto by security or works council → stakeholders in phase 0</t>
  </si>
  <si>
    <t xml:space="preserve">5 · Phases and exit criteria</t>
  </si>
  <si>
    <t xml:space="preserve">Phases 2–4 overlap in practice. The exit criterion makes progress measurable.</t>
  </si>
  <si>
    <t xml:space="preserve">Phase</t>
  </si>
  <si>
    <t xml:space="preserve">Exit criterion</t>
  </si>
  <si>
    <t xml:space="preserve">Your exit criterion</t>
  </si>
  <si>
    <t xml:space="preserve">Target date</t>
  </si>
  <si>
    <t xml:space="preserve">Exit met</t>
  </si>
  <si>
    <t xml:space="preserve">0 · Assess</t>
  </si>
  <si>
    <t xml:space="preserve">Site, apps, policies, collections, identities (M1)</t>
  </si>
  <si>
    <t xml:space="preserve">Assessment matrix complete</t>
  </si>
  <si>
    <t xml:space="preserve">1 · Foundation</t>
  </si>
  <si>
    <t xml:space="preserve">Hybrid join, tenant attach, co-management, enrollment (M2–M4)</t>
  </si>
  <si>
    <t xml:space="preserve">Pilot devices co-managed</t>
  </si>
  <si>
    <t xml:space="preserve">2 · Workloads</t>
  </si>
  <si>
    <t xml:space="preserve">Waves per workload and ring (M5–M8, M11)</t>
  </si>
  <si>
    <t xml:space="preserve">All workloads on Intune</t>
  </si>
  <si>
    <t xml:space="preserve">3 · Applications</t>
  </si>
  <si>
    <t xml:space="preserve">Factory: retire, Store / WinGet, Win32, PSADT (M9–M10)</t>
  </si>
  <si>
    <t xml:space="preserve">Catalogue complete per ring</t>
  </si>
  <si>
    <t xml:space="preserve">4 · Devices</t>
  </si>
  <si>
    <t xml:space="preserve">New devices Entra joined, existing until refresh or reset (M12)</t>
  </si>
  <si>
    <t xml:space="preserve">Hybrid share below target</t>
  </si>
  <si>
    <t xml:space="preserve">5 · Clean sweep</t>
  </si>
  <si>
    <t xml:space="preserve">Clients, records, GPOs, site (M13)</t>
  </si>
  <si>
    <t xml:space="preserve">Site decommissioned or scoped</t>
  </si>
  <si>
    <t xml:space="preserve">Checkpoint: the clean sweep (phase 5) has a target date.</t>
  </si>
  <si>
    <t xml:space="preserve">App tracking – the factory (M10)</t>
  </si>
  <si>
    <t xml:space="preserve">One row per ConfigMgr deployment type. Route decides the work; status shows progress.</t>
  </si>
  <si>
    <t xml:space="preserve">ConfigMgr application</t>
  </si>
  <si>
    <t xml:space="preserve">Deployment type</t>
  </si>
  <si>
    <t xml:space="preserve">Route</t>
  </si>
  <si>
    <t xml:space="preserve">Package / toolkit version</t>
  </si>
  <si>
    <t xml:space="preserve">Detection</t>
  </si>
  <si>
    <t xml:space="preserve">Test result</t>
  </si>
  <si>
    <t xml:space="preserve">Intune app / assignment</t>
  </si>
  <si>
    <t xml:space="preserve">ConfigMgr status</t>
  </si>
  <si>
    <t xml:space="preserve">Mozilla Firefox ESR</t>
  </si>
  <si>
    <t xml:space="preserve">Firefox ESR + policies</t>
  </si>
  <si>
    <t xml:space="preserve">Workplace team</t>
  </si>
  <si>
    <t xml:space="preserve">PSADT wrap</t>
  </si>
  <si>
    <t xml:space="preserve">1.0 / PSADT 4.1.x</t>
  </si>
  <si>
    <t xml:space="preserve">MSI product code</t>
  </si>
  <si>
    <t xml:space="preserve">Install, uninstall, prompt OK – CL4</t>
  </si>
  <si>
    <t xml:space="preserve">Win32, required: SCMI-DEV-Ring-Pilot</t>
  </si>
  <si>
    <t xml:space="preserve">Deployment removed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</si>
</sst>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43A5E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243A5E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43A5E"/>
      <name val="Arial"/>
      <family val="0"/>
      <charset val="1"/>
    </font>
    <font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243A5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3A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3" t="s">
        <v>3</v>
      </c>
      <c r="B5" s="4"/>
    </row>
    <row r="6" customFormat="false" ht="15" hidden="false" customHeight="false" outlineLevel="0" collapsed="false">
      <c r="A6" s="3" t="s">
        <v>4</v>
      </c>
      <c r="B6" s="4"/>
    </row>
    <row r="7" customFormat="false" ht="15" hidden="false" customHeight="false" outlineLevel="0" collapsed="false">
      <c r="A7" s="3" t="s">
        <v>5</v>
      </c>
      <c r="B7" s="4" t="s">
        <v>6</v>
      </c>
    </row>
    <row r="9" customFormat="false" ht="1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6" t="s">
        <v>8</v>
      </c>
      <c r="B10" s="7" t="s">
        <v>9</v>
      </c>
    </row>
    <row r="11" customFormat="false" ht="15" hidden="false" customHeight="false" outlineLevel="0" collapsed="false">
      <c r="A11" s="8" t="s">
        <v>10</v>
      </c>
      <c r="B11" s="7" t="s">
        <v>11</v>
      </c>
    </row>
    <row r="12" customFormat="false" ht="15" hidden="false" customHeight="false" outlineLevel="0" collapsed="false">
      <c r="A12" s="9" t="s">
        <v>12</v>
      </c>
      <c r="B12" s="7" t="s">
        <v>13</v>
      </c>
    </row>
    <row r="14" customFormat="false" ht="15" hidden="false" customHeight="false" outlineLevel="0" collapsed="false">
      <c r="A14" s="5" t="s">
        <v>14</v>
      </c>
    </row>
    <row r="15" customFormat="false" ht="26.85" hidden="false" customHeight="false" outlineLevel="0" collapsed="false">
      <c r="A15" s="9" t="s">
        <v>15</v>
      </c>
      <c r="B15" s="7" t="s">
        <v>16</v>
      </c>
    </row>
    <row r="16" customFormat="false" ht="26.85" hidden="false" customHeight="false" outlineLevel="0" collapsed="false">
      <c r="A16" s="9" t="s">
        <v>17</v>
      </c>
      <c r="B16" s="7" t="s">
        <v>18</v>
      </c>
    </row>
    <row r="17" customFormat="false" ht="26.85" hidden="false" customHeight="false" outlineLevel="0" collapsed="false">
      <c r="A17" s="9" t="s">
        <v>19</v>
      </c>
      <c r="B17" s="7" t="s">
        <v>20</v>
      </c>
    </row>
    <row r="18" customFormat="false" ht="15" hidden="false" customHeight="false" outlineLevel="0" collapsed="false">
      <c r="A18" s="9" t="s">
        <v>21</v>
      </c>
      <c r="B18" s="7" t="s">
        <v>22</v>
      </c>
    </row>
    <row r="19" customFormat="false" ht="26.85" hidden="false" customHeight="false" outlineLevel="0" collapsed="false">
      <c r="A19" s="9" t="s">
        <v>23</v>
      </c>
      <c r="B19" s="7" t="s">
        <v>24</v>
      </c>
    </row>
    <row r="20" customFormat="false" ht="15" hidden="false" customHeight="false" outlineLevel="0" collapsed="false">
      <c r="A20" s="9" t="s">
        <v>25</v>
      </c>
      <c r="B20" s="7" t="s">
        <v>26</v>
      </c>
    </row>
    <row r="22" customFormat="false" ht="15" hidden="false" customHeight="false" outlineLevel="0" collapsed="false">
      <c r="A22" s="5" t="s">
        <v>27</v>
      </c>
    </row>
    <row r="23" customFormat="false" ht="15" hidden="false" customHeight="false" outlineLevel="0" collapsed="false">
      <c r="A23" s="9" t="s">
        <v>28</v>
      </c>
      <c r="B23" s="10" t="n">
        <f aca="false">SUMIFS('1 Assessment'!D:D,'1 Assessment'!B:B,"Deployment types")</f>
        <v>0</v>
      </c>
    </row>
    <row r="24" customFormat="false" ht="15" hidden="false" customHeight="false" outlineLevel="0" collapsed="false">
      <c r="A24" s="9" t="s">
        <v>29</v>
      </c>
      <c r="B24" s="10" t="n">
        <f aca="false">COUNTA('3 Waves'!A6:A30)</f>
        <v>1</v>
      </c>
    </row>
    <row r="25" customFormat="false" ht="15" hidden="false" customHeight="false" outlineLevel="0" collapsed="false">
      <c r="A25" s="9" t="s">
        <v>30</v>
      </c>
      <c r="B25" s="10" t="n">
        <f aca="false">COUNTIF('4 Risks'!F6:F30,"&gt;=6")</f>
        <v>1</v>
      </c>
    </row>
    <row r="26" customFormat="false" ht="15" hidden="false" customHeight="false" outlineLevel="0" collapsed="false">
      <c r="A26" s="9" t="s">
        <v>31</v>
      </c>
      <c r="B26" s="10" t="str">
        <f aca="false">COUNTIF('5 Phases'!H5:H10,"Yes")&amp;" of 6"</f>
        <v>0 of 6</v>
      </c>
    </row>
    <row r="27" customFormat="false" ht="15" hidden="false" customHeight="false" outlineLevel="0" collapsed="false">
      <c r="A27" s="9" t="s">
        <v>32</v>
      </c>
      <c r="B27" s="10" t="n">
        <f aca="false">COUNTA('App tracking'!A6:A500)</f>
        <v>1</v>
      </c>
    </row>
    <row r="28" customFormat="false" ht="15" hidden="false" customHeight="false" outlineLevel="0" collapsed="false">
      <c r="A28" s="9" t="s">
        <v>33</v>
      </c>
      <c r="B28" s="10" t="n">
        <f aca="false">COUNTIF('App tracking'!D6:D500,"Retire")</f>
        <v>0</v>
      </c>
    </row>
    <row r="29" customFormat="false" ht="15" hidden="false" customHeight="false" outlineLevel="0" collapsed="false">
      <c r="A29" s="9" t="s">
        <v>34</v>
      </c>
      <c r="B29" s="11" t="str">
        <f aca="false">IF('5 Phases'!F10="","not set",'5 Phases'!F10)</f>
        <v>not set</v>
      </c>
    </row>
    <row r="31" customFormat="false" ht="15" hidden="false" customHeight="false" outlineLevel="0" collapsed="false">
      <c r="A31" s="1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0" hidden="false" customHeight="true" outlineLevel="0" collapsed="false">
      <c r="A4" s="13" t="s">
        <v>38</v>
      </c>
      <c r="B4" s="13" t="s">
        <v>39</v>
      </c>
      <c r="C4" s="13" t="s">
        <v>40</v>
      </c>
      <c r="D4" s="13" t="s">
        <v>41</v>
      </c>
      <c r="E4" s="13" t="s">
        <v>42</v>
      </c>
      <c r="F4" s="13" t="s">
        <v>43</v>
      </c>
    </row>
    <row r="5" customFormat="false" ht="15" hidden="false" customHeight="false" outlineLevel="0" collapsed="false">
      <c r="A5" s="14" t="s">
        <v>44</v>
      </c>
      <c r="B5" s="14" t="s">
        <v>45</v>
      </c>
      <c r="C5" s="14" t="s">
        <v>46</v>
      </c>
      <c r="D5" s="15"/>
      <c r="E5" s="16" t="n">
        <v>2</v>
      </c>
      <c r="F5" s="15"/>
    </row>
    <row r="6" customFormat="false" ht="15" hidden="false" customHeight="false" outlineLevel="0" collapsed="false">
      <c r="A6" s="14" t="s">
        <v>44</v>
      </c>
      <c r="B6" s="14" t="s">
        <v>47</v>
      </c>
      <c r="C6" s="14" t="s">
        <v>48</v>
      </c>
      <c r="D6" s="15"/>
      <c r="E6" s="16" t="n">
        <v>2</v>
      </c>
      <c r="F6" s="15"/>
    </row>
    <row r="7" customFormat="false" ht="15" hidden="false" customHeight="false" outlineLevel="0" collapsed="false">
      <c r="A7" s="14" t="s">
        <v>44</v>
      </c>
      <c r="B7" s="14" t="s">
        <v>49</v>
      </c>
      <c r="C7" s="14" t="s">
        <v>48</v>
      </c>
      <c r="D7" s="15"/>
      <c r="E7" s="16" t="n">
        <v>2</v>
      </c>
      <c r="F7" s="15"/>
    </row>
    <row r="8" customFormat="false" ht="15" hidden="false" customHeight="false" outlineLevel="0" collapsed="false">
      <c r="A8" s="14" t="s">
        <v>44</v>
      </c>
      <c r="B8" s="14" t="s">
        <v>50</v>
      </c>
      <c r="C8" s="14" t="s">
        <v>51</v>
      </c>
      <c r="D8" s="15"/>
      <c r="E8" s="16" t="n">
        <v>0</v>
      </c>
      <c r="F8" s="15"/>
    </row>
    <row r="9" customFormat="false" ht="15" hidden="false" customHeight="false" outlineLevel="0" collapsed="false">
      <c r="A9" s="14" t="s">
        <v>44</v>
      </c>
      <c r="B9" s="14" t="s">
        <v>52</v>
      </c>
      <c r="C9" s="14" t="s">
        <v>53</v>
      </c>
      <c r="D9" s="15"/>
      <c r="E9" s="16" t="n">
        <v>0</v>
      </c>
      <c r="F9" s="15"/>
    </row>
    <row r="10" customFormat="false" ht="15" hidden="false" customHeight="false" outlineLevel="0" collapsed="false">
      <c r="A10" s="14" t="s">
        <v>54</v>
      </c>
      <c r="B10" s="14" t="s">
        <v>54</v>
      </c>
      <c r="C10" s="14" t="s">
        <v>55</v>
      </c>
      <c r="D10" s="15"/>
      <c r="E10" s="16" t="n">
        <v>10</v>
      </c>
      <c r="F10" s="15"/>
    </row>
    <row r="11" customFormat="false" ht="15" hidden="false" customHeight="false" outlineLevel="0" collapsed="false">
      <c r="A11" s="14" t="s">
        <v>54</v>
      </c>
      <c r="B11" s="14" t="s">
        <v>56</v>
      </c>
      <c r="C11" s="14" t="s">
        <v>57</v>
      </c>
      <c r="D11" s="15"/>
      <c r="E11" s="16" t="n">
        <v>10</v>
      </c>
      <c r="F11" s="15"/>
    </row>
    <row r="12" customFormat="false" ht="15" hidden="false" customHeight="false" outlineLevel="0" collapsed="false">
      <c r="A12" s="14" t="s">
        <v>54</v>
      </c>
      <c r="B12" s="14" t="s">
        <v>58</v>
      </c>
      <c r="C12" s="14" t="s">
        <v>59</v>
      </c>
      <c r="D12" s="15"/>
      <c r="E12" s="16" t="n">
        <v>4</v>
      </c>
      <c r="F12" s="15"/>
    </row>
    <row r="13" customFormat="false" ht="15" hidden="false" customHeight="false" outlineLevel="0" collapsed="false">
      <c r="A13" s="14" t="s">
        <v>54</v>
      </c>
      <c r="B13" s="14" t="s">
        <v>60</v>
      </c>
      <c r="C13" s="14" t="s">
        <v>61</v>
      </c>
      <c r="D13" s="15"/>
      <c r="E13" s="16" t="s">
        <v>62</v>
      </c>
      <c r="F13" s="15"/>
    </row>
    <row r="14" customFormat="false" ht="15" hidden="false" customHeight="false" outlineLevel="0" collapsed="false">
      <c r="A14" s="14" t="s">
        <v>54</v>
      </c>
      <c r="B14" s="14" t="s">
        <v>63</v>
      </c>
      <c r="C14" s="14" t="s">
        <v>64</v>
      </c>
      <c r="D14" s="15"/>
      <c r="E14" s="16" t="n">
        <v>1</v>
      </c>
      <c r="F14" s="15"/>
    </row>
    <row r="15" customFormat="false" ht="15" hidden="false" customHeight="false" outlineLevel="0" collapsed="false">
      <c r="A15" s="14" t="s">
        <v>65</v>
      </c>
      <c r="B15" s="14" t="s">
        <v>66</v>
      </c>
      <c r="C15" s="14" t="s">
        <v>67</v>
      </c>
      <c r="D15" s="15"/>
      <c r="E15" s="16" t="n">
        <v>4</v>
      </c>
      <c r="F15" s="15"/>
    </row>
    <row r="16" customFormat="false" ht="15" hidden="false" customHeight="false" outlineLevel="0" collapsed="false">
      <c r="A16" s="14" t="s">
        <v>65</v>
      </c>
      <c r="B16" s="14" t="s">
        <v>68</v>
      </c>
      <c r="C16" s="14" t="s">
        <v>69</v>
      </c>
      <c r="D16" s="15"/>
      <c r="E16" s="16"/>
      <c r="F16" s="15"/>
    </row>
    <row r="17" customFormat="false" ht="15" hidden="false" customHeight="false" outlineLevel="0" collapsed="false">
      <c r="A17" s="14" t="s">
        <v>65</v>
      </c>
      <c r="B17" s="14" t="s">
        <v>70</v>
      </c>
      <c r="C17" s="14" t="s">
        <v>71</v>
      </c>
      <c r="D17" s="15"/>
      <c r="E17" s="16" t="s">
        <v>72</v>
      </c>
      <c r="F17" s="15"/>
    </row>
    <row r="18" customFormat="false" ht="15" hidden="false" customHeight="false" outlineLevel="0" collapsed="false">
      <c r="A18" s="14" t="s">
        <v>65</v>
      </c>
      <c r="B18" s="14" t="s">
        <v>73</v>
      </c>
      <c r="C18" s="14" t="s">
        <v>74</v>
      </c>
      <c r="D18" s="15"/>
      <c r="E18" s="16" t="n">
        <v>2</v>
      </c>
      <c r="F18" s="15"/>
    </row>
    <row r="19" customFormat="false" ht="15" hidden="false" customHeight="false" outlineLevel="0" collapsed="false">
      <c r="A19" s="14" t="s">
        <v>75</v>
      </c>
      <c r="B19" s="14" t="s">
        <v>76</v>
      </c>
      <c r="C19" s="14" t="s">
        <v>77</v>
      </c>
      <c r="D19" s="15"/>
      <c r="E19" s="16" t="n">
        <v>15</v>
      </c>
      <c r="F19" s="15"/>
    </row>
    <row r="20" customFormat="false" ht="15" hidden="false" customHeight="false" outlineLevel="0" collapsed="false">
      <c r="A20" s="14" t="s">
        <v>75</v>
      </c>
      <c r="B20" s="14" t="s">
        <v>78</v>
      </c>
      <c r="C20" s="14" t="s">
        <v>79</v>
      </c>
      <c r="D20" s="15"/>
      <c r="E20" s="16" t="n">
        <v>5</v>
      </c>
      <c r="F20" s="15"/>
    </row>
    <row r="21" customFormat="false" ht="15" hidden="false" customHeight="false" outlineLevel="0" collapsed="false">
      <c r="A21" s="14" t="s">
        <v>75</v>
      </c>
      <c r="B21" s="14" t="s">
        <v>80</v>
      </c>
      <c r="C21" s="14" t="s">
        <v>81</v>
      </c>
      <c r="D21" s="15"/>
      <c r="E21" s="16" t="n">
        <v>1</v>
      </c>
      <c r="F21" s="15"/>
    </row>
    <row r="22" customFormat="false" ht="15" hidden="false" customHeight="false" outlineLevel="0" collapsed="false">
      <c r="A22" s="14" t="s">
        <v>82</v>
      </c>
      <c r="B22" s="14" t="s">
        <v>83</v>
      </c>
      <c r="C22" s="14" t="s">
        <v>84</v>
      </c>
      <c r="D22" s="15"/>
      <c r="E22" s="16" t="s">
        <v>62</v>
      </c>
      <c r="F22" s="15"/>
    </row>
    <row r="23" customFormat="false" ht="15" hidden="false" customHeight="false" outlineLevel="0" collapsed="false">
      <c r="A23" s="14" t="s">
        <v>82</v>
      </c>
      <c r="B23" s="14" t="s">
        <v>85</v>
      </c>
      <c r="C23" s="14" t="s">
        <v>86</v>
      </c>
      <c r="D23" s="15"/>
      <c r="E23" s="16" t="n">
        <v>1</v>
      </c>
      <c r="F23" s="15"/>
    </row>
    <row r="24" customFormat="false" ht="23.85" hidden="false" customHeight="false" outlineLevel="0" collapsed="false">
      <c r="A24" s="14" t="s">
        <v>87</v>
      </c>
      <c r="B24" s="14" t="s">
        <v>88</v>
      </c>
      <c r="C24" s="14" t="s">
        <v>89</v>
      </c>
      <c r="D24" s="15"/>
      <c r="E24" s="16"/>
      <c r="F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36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13" t="s">
        <v>92</v>
      </c>
      <c r="B4" s="13" t="s">
        <v>44</v>
      </c>
      <c r="C4" s="13" t="s">
        <v>93</v>
      </c>
      <c r="D4" s="13" t="s">
        <v>94</v>
      </c>
      <c r="E4" s="13" t="s">
        <v>95</v>
      </c>
      <c r="F4" s="13" t="s">
        <v>43</v>
      </c>
    </row>
    <row r="5" customFormat="false" ht="15" hidden="false" customHeight="false" outlineLevel="0" collapsed="false">
      <c r="A5" s="17" t="s">
        <v>96</v>
      </c>
      <c r="B5" s="17" t="n">
        <v>120</v>
      </c>
      <c r="C5" s="17" t="s">
        <v>47</v>
      </c>
      <c r="D5" s="17" t="s">
        <v>49</v>
      </c>
      <c r="E5" s="17" t="s">
        <v>97</v>
      </c>
      <c r="F5" s="17" t="s">
        <v>98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</row>
    <row r="15" customFormat="false" ht="15" hidden="false" customHeight="false" outlineLevel="0" collapsed="false">
      <c r="A15" s="5" t="s">
        <v>99</v>
      </c>
    </row>
    <row r="16" customFormat="false" ht="30" hidden="false" customHeight="true" outlineLevel="0" collapsed="false">
      <c r="A16" s="13" t="s">
        <v>100</v>
      </c>
      <c r="B16" s="13" t="s">
        <v>101</v>
      </c>
      <c r="C16" s="13" t="s">
        <v>102</v>
      </c>
      <c r="D16" s="13" t="s">
        <v>103</v>
      </c>
      <c r="E16" s="13" t="s">
        <v>104</v>
      </c>
      <c r="F16" s="13" t="s">
        <v>43</v>
      </c>
    </row>
    <row r="17" customFormat="false" ht="15" hidden="false" customHeight="false" outlineLevel="0" collapsed="false">
      <c r="A17" s="14" t="s">
        <v>105</v>
      </c>
      <c r="B17" s="15" t="s">
        <v>106</v>
      </c>
      <c r="C17" s="15"/>
      <c r="D17" s="15"/>
      <c r="E17" s="14" t="s">
        <v>107</v>
      </c>
      <c r="F17" s="15"/>
    </row>
    <row r="18" customFormat="false" ht="15" hidden="false" customHeight="false" outlineLevel="0" collapsed="false">
      <c r="A18" s="14" t="s">
        <v>108</v>
      </c>
      <c r="B18" s="15" t="s">
        <v>106</v>
      </c>
      <c r="C18" s="15"/>
      <c r="D18" s="15"/>
      <c r="E18" s="14" t="s">
        <v>109</v>
      </c>
      <c r="F18" s="15"/>
    </row>
    <row r="19" customFormat="false" ht="15" hidden="false" customHeight="false" outlineLevel="0" collapsed="false">
      <c r="A19" s="14" t="s">
        <v>110</v>
      </c>
      <c r="B19" s="15" t="s">
        <v>106</v>
      </c>
      <c r="C19" s="15"/>
      <c r="D19" s="15"/>
      <c r="E19" s="14" t="s">
        <v>111</v>
      </c>
      <c r="F19" s="15"/>
    </row>
    <row r="20" customFormat="false" ht="15" hidden="false" customHeight="false" outlineLevel="0" collapsed="false">
      <c r="A20" s="14" t="s">
        <v>112</v>
      </c>
      <c r="B20" s="15" t="s">
        <v>106</v>
      </c>
      <c r="C20" s="15"/>
      <c r="D20" s="15"/>
      <c r="E20" s="14" t="s">
        <v>113</v>
      </c>
      <c r="F20" s="15"/>
    </row>
    <row r="21" customFormat="false" ht="15" hidden="false" customHeight="false" outlineLevel="0" collapsed="false">
      <c r="A21" s="14" t="s">
        <v>114</v>
      </c>
      <c r="B21" s="15" t="s">
        <v>106</v>
      </c>
      <c r="C21" s="15"/>
      <c r="D21" s="15"/>
      <c r="E21" s="14" t="s">
        <v>115</v>
      </c>
      <c r="F21" s="15"/>
    </row>
    <row r="22" customFormat="false" ht="15" hidden="false" customHeight="false" outlineLevel="0" collapsed="false">
      <c r="A22" s="14" t="s">
        <v>116</v>
      </c>
      <c r="B22" s="15" t="s">
        <v>106</v>
      </c>
      <c r="C22" s="15"/>
      <c r="D22" s="15"/>
      <c r="E22" s="14" t="s">
        <v>117</v>
      </c>
      <c r="F22" s="15"/>
    </row>
    <row r="23" customFormat="false" ht="15" hidden="false" customHeight="false" outlineLevel="0" collapsed="false">
      <c r="A23" s="14" t="s">
        <v>118</v>
      </c>
      <c r="B23" s="15" t="s">
        <v>106</v>
      </c>
      <c r="C23" s="15"/>
      <c r="D23" s="15"/>
      <c r="E23" s="14" t="s">
        <v>119</v>
      </c>
      <c r="F23" s="15"/>
    </row>
    <row r="25" customFormat="false" ht="15" hidden="false" customHeight="false" outlineLevel="0" collapsed="false">
      <c r="A25" s="5" t="s">
        <v>120</v>
      </c>
    </row>
    <row r="26" customFormat="false" ht="30" hidden="false" customHeight="true" outlineLevel="0" collapsed="false">
      <c r="A26" s="13" t="s">
        <v>121</v>
      </c>
      <c r="B26" s="13" t="s">
        <v>44</v>
      </c>
      <c r="C26" s="13" t="s">
        <v>122</v>
      </c>
      <c r="D26" s="13" t="s">
        <v>123</v>
      </c>
      <c r="E26" s="13" t="s">
        <v>124</v>
      </c>
      <c r="F26" s="13" t="s">
        <v>43</v>
      </c>
    </row>
    <row r="27" customFormat="false" ht="15" hidden="false" customHeight="false" outlineLevel="0" collapsed="false">
      <c r="A27" s="17" t="s">
        <v>125</v>
      </c>
      <c r="B27" s="17" t="n">
        <v>40</v>
      </c>
      <c r="C27" s="17" t="s">
        <v>126</v>
      </c>
      <c r="D27" s="17" t="s">
        <v>127</v>
      </c>
      <c r="E27" s="17" t="s">
        <v>128</v>
      </c>
      <c r="F27" s="17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</row>
  </sheetData>
  <dataValidations count="3">
    <dataValidation allowBlank="true" errorStyle="stop" operator="between" showDropDown="false" showErrorMessage="false" showInputMessage="false" sqref="C5:D13" type="list">
      <formula1>"Hybrid joined,Entra joined,Domain joined,Workgroup,Stays in ConfigMgr"</formula1>
      <formula2>0</formula2>
    </dataValidation>
    <dataValidation allowBlank="true" errorStyle="stop" operator="between" showDropDown="false" showErrorMessage="false" showInputMessage="false" sqref="E5:E13" type="list">
      <formula1>"New device – Autopilot,Reset + Autopilot,Reset + manual Entra join,Autopilot for existing devices (TS),Keep hybrid until refresh,Stays as is"</formula1>
      <formula2>0</formula2>
    </dataValidation>
    <dataValidation allowBlank="true" errorStyle="stop" operator="between" showDropDown="false" showErrorMessage="false" showInputMessage="false" sqref="B17:C23" type="list">
      <formula1>"ConfigMgr,Pilot Intune,Intune"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1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9" min="8" style="0" width="20"/>
    <col collapsed="false" customWidth="true" hidden="false" outlineLevel="0" max="10" min="10" style="0" width="16"/>
    <col collapsed="false" customWidth="true" hidden="false" outlineLevel="0" max="12" min="11" style="0" width="30"/>
    <col collapsed="false" customWidth="true" hidden="false" outlineLevel="0" max="13" min="13" style="0" width="13"/>
  </cols>
  <sheetData>
    <row r="1" customFormat="false" ht="19.7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3" customFormat="false" ht="15" hidden="false" customHeight="false" outlineLevel="0" collapsed="false">
      <c r="A3" s="12" t="s">
        <v>131</v>
      </c>
    </row>
    <row r="5" customFormat="false" ht="30" hidden="false" customHeight="true" outlineLevel="0" collapsed="false">
      <c r="A5" s="13" t="s">
        <v>132</v>
      </c>
      <c r="B5" s="13" t="s">
        <v>133</v>
      </c>
      <c r="C5" s="13" t="s">
        <v>134</v>
      </c>
      <c r="D5" s="13" t="s">
        <v>135</v>
      </c>
      <c r="E5" s="13" t="s">
        <v>44</v>
      </c>
      <c r="F5" s="13" t="s">
        <v>136</v>
      </c>
      <c r="G5" s="13" t="s">
        <v>137</v>
      </c>
      <c r="H5" s="13" t="s">
        <v>138</v>
      </c>
      <c r="I5" s="13" t="s">
        <v>139</v>
      </c>
      <c r="J5" s="13" t="s">
        <v>140</v>
      </c>
      <c r="K5" s="13" t="s">
        <v>141</v>
      </c>
      <c r="L5" s="13" t="s">
        <v>142</v>
      </c>
      <c r="M5" s="13" t="s">
        <v>143</v>
      </c>
    </row>
    <row r="6" customFormat="false" ht="23.85" hidden="false" customHeight="false" outlineLevel="0" collapsed="false">
      <c r="A6" s="17" t="s">
        <v>144</v>
      </c>
      <c r="B6" s="18" t="s">
        <v>145</v>
      </c>
      <c r="C6" s="18" t="s">
        <v>146</v>
      </c>
      <c r="D6" s="17" t="s">
        <v>147</v>
      </c>
      <c r="E6" s="17" t="n">
        <v>15</v>
      </c>
      <c r="F6" s="17" t="s">
        <v>148</v>
      </c>
      <c r="G6" s="17" t="s">
        <v>149</v>
      </c>
      <c r="H6" s="17" t="s">
        <v>150</v>
      </c>
      <c r="I6" s="17" t="s">
        <v>151</v>
      </c>
      <c r="J6" s="17" t="s">
        <v>152</v>
      </c>
      <c r="K6" s="17" t="s">
        <v>153</v>
      </c>
      <c r="L6" s="17" t="s">
        <v>154</v>
      </c>
      <c r="M6" s="17" t="s">
        <v>155</v>
      </c>
    </row>
    <row r="7" customFormat="false" ht="15" hidden="false" customHeight="false" outlineLevel="0" collapsed="false">
      <c r="A7" s="15"/>
      <c r="B7" s="19"/>
      <c r="C7" s="19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customFormat="false" ht="15" hidden="false" customHeight="false" outlineLevel="0" collapsed="false">
      <c r="A8" s="15"/>
      <c r="B8" s="19"/>
      <c r="C8" s="19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customFormat="false" ht="15" hidden="false" customHeight="false" outlineLevel="0" collapsed="false">
      <c r="A9" s="15"/>
      <c r="B9" s="19"/>
      <c r="C9" s="19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customFormat="false" ht="15" hidden="false" customHeight="false" outlineLevel="0" collapsed="false">
      <c r="A10" s="15"/>
      <c r="B10" s="19"/>
      <c r="C10" s="19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customFormat="false" ht="15" hidden="false" customHeight="false" outlineLevel="0" collapsed="false">
      <c r="A11" s="15"/>
      <c r="B11" s="19"/>
      <c r="C11" s="19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customFormat="false" ht="15" hidden="false" customHeight="false" outlineLevel="0" collapsed="false">
      <c r="A12" s="15"/>
      <c r="B12" s="19"/>
      <c r="C12" s="19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customFormat="false" ht="15" hidden="false" customHeight="false" outlineLevel="0" collapsed="false">
      <c r="A13" s="15"/>
      <c r="B13" s="19"/>
      <c r="C13" s="19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customFormat="false" ht="15" hidden="false" customHeight="false" outlineLevel="0" collapsed="false">
      <c r="A14" s="15"/>
      <c r="B14" s="19"/>
      <c r="C14" s="19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customFormat="false" ht="15" hidden="false" customHeight="false" outlineLevel="0" collapsed="false">
      <c r="A15" s="15"/>
      <c r="B15" s="19"/>
      <c r="C15" s="19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customFormat="false" ht="15" hidden="false" customHeight="false" outlineLevel="0" collapsed="false">
      <c r="A16" s="15"/>
      <c r="B16" s="19"/>
      <c r="C16" s="19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customFormat="false" ht="15" hidden="false" customHeight="false" outlineLevel="0" collapsed="false">
      <c r="A17" s="15"/>
      <c r="B17" s="19"/>
      <c r="C17" s="19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customFormat="false" ht="15" hidden="false" customHeight="false" outlineLevel="0" collapsed="false">
      <c r="A18" s="15"/>
      <c r="B18" s="19"/>
      <c r="C18" s="19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customFormat="false" ht="15" hidden="false" customHeight="false" outlineLevel="0" collapsed="false">
      <c r="A19" s="15"/>
      <c r="B19" s="19"/>
      <c r="C19" s="19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customFormat="false" ht="15" hidden="false" customHeight="false" outlineLevel="0" collapsed="false">
      <c r="A20" s="15"/>
      <c r="B20" s="19"/>
      <c r="C20" s="19"/>
      <c r="D20" s="15"/>
      <c r="E20" s="15"/>
      <c r="F20" s="15"/>
      <c r="G20" s="15"/>
      <c r="H20" s="15"/>
      <c r="I20" s="15"/>
      <c r="J20" s="15"/>
      <c r="K20" s="15"/>
      <c r="L20" s="15"/>
      <c r="M20" s="15"/>
    </row>
  </sheetData>
  <conditionalFormatting sqref="M6:M20">
    <cfRule type="cellIs" priority="2" operator="equal" aboveAverage="0" equalAverage="0" bottom="0" percent="0" rank="0" text="" dxfId="0">
      <formula>"Rolled back"</formula>
    </cfRule>
    <cfRule type="cellIs" priority="3" operator="equal" aboveAverage="0" equalAverage="0" bottom="0" percent="0" rank="0" text="" dxfId="1">
      <formula>"Done"</formula>
    </cfRule>
  </conditionalFormatting>
  <dataValidations count="2">
    <dataValidation allowBlank="true" errorStyle="stop" operator="between" showDropDown="false" showErrorMessage="false" showInputMessage="false" sqref="G6:G20" type="list">
      <formula1>"Yes,Partly,No"</formula1>
      <formula2>0</formula2>
    </dataValidation>
    <dataValidation allowBlank="true" errorStyle="stop" operator="between" showDropDown="false" showErrorMessage="false" showInputMessage="false" sqref="M6:M20" type="list">
      <formula1>"Planned,Running,Done,Rolled back,On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44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5" customFormat="false" ht="30" hidden="false" customHeight="true" outlineLevel="0" collapsed="false">
      <c r="A5" s="13" t="s">
        <v>158</v>
      </c>
      <c r="B5" s="13" t="s">
        <v>159</v>
      </c>
      <c r="C5" s="13" t="s">
        <v>160</v>
      </c>
      <c r="D5" s="13" t="s">
        <v>161</v>
      </c>
      <c r="E5" s="13" t="s">
        <v>162</v>
      </c>
      <c r="F5" s="13" t="s">
        <v>163</v>
      </c>
      <c r="G5" s="13" t="s">
        <v>164</v>
      </c>
      <c r="H5" s="13" t="s">
        <v>123</v>
      </c>
      <c r="I5" s="13" t="s">
        <v>165</v>
      </c>
      <c r="J5" s="13" t="s">
        <v>143</v>
      </c>
    </row>
    <row r="6" customFormat="false" ht="23.85" hidden="false" customHeight="false" outlineLevel="0" collapsed="false">
      <c r="A6" s="17" t="s">
        <v>166</v>
      </c>
      <c r="B6" s="17" t="s">
        <v>167</v>
      </c>
      <c r="C6" s="17" t="s">
        <v>54</v>
      </c>
      <c r="D6" s="20" t="n">
        <v>3</v>
      </c>
      <c r="E6" s="20" t="n">
        <v>2</v>
      </c>
      <c r="F6" s="21" t="n">
        <f aca="false">IF(OR(D6="",E6=""),"",D6*E6)</f>
        <v>6</v>
      </c>
      <c r="G6" s="17" t="s">
        <v>168</v>
      </c>
      <c r="H6" s="17" t="s">
        <v>169</v>
      </c>
      <c r="I6" s="17" t="s">
        <v>170</v>
      </c>
      <c r="J6" s="17" t="s">
        <v>171</v>
      </c>
    </row>
    <row r="7" customFormat="false" ht="15" hidden="false" customHeight="false" outlineLevel="0" collapsed="false">
      <c r="A7" s="15" t="s">
        <v>172</v>
      </c>
      <c r="B7" s="15"/>
      <c r="C7" s="15"/>
      <c r="D7" s="22"/>
      <c r="E7" s="22"/>
      <c r="F7" s="16" t="str">
        <f aca="false">IF(OR(D7="",E7=""),"",D7*E7)</f>
        <v/>
      </c>
      <c r="G7" s="15"/>
      <c r="H7" s="15"/>
      <c r="I7" s="15"/>
      <c r="J7" s="15"/>
    </row>
    <row r="8" customFormat="false" ht="15" hidden="false" customHeight="false" outlineLevel="0" collapsed="false">
      <c r="A8" s="15" t="s">
        <v>173</v>
      </c>
      <c r="B8" s="15"/>
      <c r="C8" s="15"/>
      <c r="D8" s="22"/>
      <c r="E8" s="22"/>
      <c r="F8" s="16" t="str">
        <f aca="false">IF(OR(D8="",E8=""),"",D8*E8)</f>
        <v/>
      </c>
      <c r="G8" s="15"/>
      <c r="H8" s="15"/>
      <c r="I8" s="15"/>
      <c r="J8" s="15"/>
    </row>
    <row r="9" customFormat="false" ht="15" hidden="false" customHeight="false" outlineLevel="0" collapsed="false">
      <c r="A9" s="15" t="s">
        <v>174</v>
      </c>
      <c r="B9" s="15"/>
      <c r="C9" s="15"/>
      <c r="D9" s="22"/>
      <c r="E9" s="22"/>
      <c r="F9" s="16" t="str">
        <f aca="false">IF(OR(D9="",E9=""),"",D9*E9)</f>
        <v/>
      </c>
      <c r="G9" s="15"/>
      <c r="H9" s="15"/>
      <c r="I9" s="15"/>
      <c r="J9" s="15"/>
    </row>
    <row r="10" customFormat="false" ht="15" hidden="false" customHeight="false" outlineLevel="0" collapsed="false">
      <c r="A10" s="15" t="s">
        <v>175</v>
      </c>
      <c r="B10" s="15"/>
      <c r="C10" s="15"/>
      <c r="D10" s="22"/>
      <c r="E10" s="22"/>
      <c r="F10" s="16" t="str">
        <f aca="false">IF(OR(D10="",E10=""),"",D10*E10)</f>
        <v/>
      </c>
      <c r="G10" s="15"/>
      <c r="H10" s="15"/>
      <c r="I10" s="15"/>
      <c r="J10" s="15"/>
    </row>
    <row r="11" customFormat="false" ht="15" hidden="false" customHeight="false" outlineLevel="0" collapsed="false">
      <c r="A11" s="15" t="s">
        <v>176</v>
      </c>
      <c r="B11" s="15"/>
      <c r="C11" s="15"/>
      <c r="D11" s="22"/>
      <c r="E11" s="22"/>
      <c r="F11" s="16" t="str">
        <f aca="false">IF(OR(D11="",E11=""),"",D11*E11)</f>
        <v/>
      </c>
      <c r="G11" s="15"/>
      <c r="H11" s="15"/>
      <c r="I11" s="15"/>
      <c r="J11" s="15"/>
    </row>
    <row r="12" customFormat="false" ht="15" hidden="false" customHeight="false" outlineLevel="0" collapsed="false">
      <c r="A12" s="15"/>
      <c r="B12" s="15"/>
      <c r="C12" s="15"/>
      <c r="D12" s="22"/>
      <c r="E12" s="22"/>
      <c r="F12" s="16" t="str">
        <f aca="false">IF(OR(D12="",E12=""),"",D12*E12)</f>
        <v/>
      </c>
      <c r="G12" s="15"/>
      <c r="H12" s="15"/>
      <c r="I12" s="15"/>
      <c r="J12" s="15"/>
    </row>
    <row r="13" customFormat="false" ht="15" hidden="false" customHeight="false" outlineLevel="0" collapsed="false">
      <c r="A13" s="15"/>
      <c r="B13" s="15"/>
      <c r="C13" s="15"/>
      <c r="D13" s="22"/>
      <c r="E13" s="22"/>
      <c r="F13" s="16" t="str">
        <f aca="false">IF(OR(D13="",E13=""),"",D13*E13)</f>
        <v/>
      </c>
      <c r="G13" s="15"/>
      <c r="H13" s="15"/>
      <c r="I13" s="15"/>
      <c r="J13" s="15"/>
    </row>
    <row r="14" customFormat="false" ht="15" hidden="false" customHeight="false" outlineLevel="0" collapsed="false">
      <c r="A14" s="15"/>
      <c r="B14" s="15"/>
      <c r="C14" s="15"/>
      <c r="D14" s="22"/>
      <c r="E14" s="22"/>
      <c r="F14" s="16" t="str">
        <f aca="false">IF(OR(D14="",E14=""),"",D14*E14)</f>
        <v/>
      </c>
      <c r="G14" s="15"/>
      <c r="H14" s="15"/>
      <c r="I14" s="15"/>
      <c r="J14" s="15"/>
    </row>
    <row r="15" customFormat="false" ht="15" hidden="false" customHeight="false" outlineLevel="0" collapsed="false">
      <c r="A15" s="15"/>
      <c r="B15" s="15"/>
      <c r="C15" s="15"/>
      <c r="D15" s="22"/>
      <c r="E15" s="22"/>
      <c r="F15" s="16" t="str">
        <f aca="false">IF(OR(D15="",E15=""),"",D15*E15)</f>
        <v/>
      </c>
      <c r="G15" s="15"/>
      <c r="H15" s="15"/>
      <c r="I15" s="15"/>
      <c r="J15" s="15"/>
    </row>
    <row r="18" customFormat="false" ht="15" hidden="false" customHeight="false" outlineLevel="0" collapsed="false">
      <c r="B18" s="23" t="s">
        <v>177</v>
      </c>
    </row>
    <row r="19" customFormat="false" ht="15" hidden="false" customHeight="false" outlineLevel="0" collapsed="false">
      <c r="B19" s="24" t="s">
        <v>178</v>
      </c>
    </row>
    <row r="20" customFormat="false" ht="15" hidden="false" customHeight="false" outlineLevel="0" collapsed="false">
      <c r="B20" s="24" t="s">
        <v>179</v>
      </c>
    </row>
    <row r="21" customFormat="false" ht="15" hidden="false" customHeight="false" outlineLevel="0" collapsed="false">
      <c r="B21" s="24" t="s">
        <v>180</v>
      </c>
    </row>
    <row r="22" customFormat="false" ht="15" hidden="false" customHeight="false" outlineLevel="0" collapsed="false">
      <c r="B22" s="24" t="s">
        <v>181</v>
      </c>
    </row>
    <row r="23" customFormat="false" ht="15" hidden="false" customHeight="false" outlineLevel="0" collapsed="false">
      <c r="B23" s="24" t="s">
        <v>182</v>
      </c>
    </row>
  </sheetData>
  <conditionalFormatting sqref="F6:F15">
    <cfRule type="expression" priority="2" aboveAverage="0" equalAverage="0" bottom="0" percent="0" rank="0" text="" dxfId="2">
      <formula>AND(ISNUMBER(F6),F6&gt;=6)</formula>
    </cfRule>
    <cfRule type="expression" priority="3" aboveAverage="0" equalAverage="0" bottom="0" percent="0" rank="0" text="" dxfId="3">
      <formula>AND(ISNUMBER(F6),F6&gt;=3,F6&lt;6)</formula>
    </cfRule>
  </conditionalFormatting>
  <dataValidations count="3">
    <dataValidation allowBlank="true" error="Enter 1, 2 or 3" errorStyle="stop" errorTitle="Rating 1–3" operator="between" showDropDown="false" showErrorMessage="true" showInputMessage="false" sqref="D6:E15" type="whole">
      <formula1>1</formula1>
      <formula2>3</formula2>
    </dataValidation>
    <dataValidation allowBlank="true" errorStyle="stop" operator="between" showDropDown="false" showErrorMessage="false" showInputMessage="false" sqref="C6:C15" type="list">
      <formula1>"Identity,Workloads,Policies,Applications,Updates,Devices,Organisation,Security,Network"</formula1>
      <formula2>0</formula2>
    </dataValidation>
    <dataValidation allowBlank="true" errorStyle="stop" operator="between" showDropDown="false" showErrorMessage="false" showInputMessage="false" sqref="J6:J15" type="list">
      <formula1>"Open,Mitigated,Accepted,Closed"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0"/>
  </cols>
  <sheetData>
    <row r="1" customFormat="false" ht="19.7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30" hidden="false" customHeight="true" outlineLevel="0" collapsed="false">
      <c r="A4" s="13" t="s">
        <v>185</v>
      </c>
      <c r="B4" s="13" t="s">
        <v>82</v>
      </c>
      <c r="C4" s="13" t="s">
        <v>186</v>
      </c>
      <c r="D4" s="13" t="s">
        <v>187</v>
      </c>
      <c r="E4" s="13" t="s">
        <v>123</v>
      </c>
      <c r="F4" s="13" t="s">
        <v>188</v>
      </c>
      <c r="G4" s="13" t="s">
        <v>143</v>
      </c>
      <c r="H4" s="13" t="s">
        <v>189</v>
      </c>
    </row>
    <row r="5" customFormat="false" ht="15" hidden="false" customHeight="false" outlineLevel="0" collapsed="false">
      <c r="A5" s="14" t="s">
        <v>190</v>
      </c>
      <c r="B5" s="14" t="s">
        <v>191</v>
      </c>
      <c r="C5" s="14" t="s">
        <v>192</v>
      </c>
      <c r="D5" s="15"/>
      <c r="E5" s="15"/>
      <c r="F5" s="19"/>
      <c r="G5" s="15"/>
      <c r="H5" s="15"/>
    </row>
    <row r="6" customFormat="false" ht="23.85" hidden="false" customHeight="false" outlineLevel="0" collapsed="false">
      <c r="A6" s="14" t="s">
        <v>193</v>
      </c>
      <c r="B6" s="14" t="s">
        <v>194</v>
      </c>
      <c r="C6" s="14" t="s">
        <v>195</v>
      </c>
      <c r="D6" s="15"/>
      <c r="E6" s="15"/>
      <c r="F6" s="19"/>
      <c r="G6" s="15"/>
      <c r="H6" s="15"/>
    </row>
    <row r="7" customFormat="false" ht="15" hidden="false" customHeight="false" outlineLevel="0" collapsed="false">
      <c r="A7" s="14" t="s">
        <v>196</v>
      </c>
      <c r="B7" s="14" t="s">
        <v>197</v>
      </c>
      <c r="C7" s="14" t="s">
        <v>198</v>
      </c>
      <c r="D7" s="15"/>
      <c r="E7" s="15"/>
      <c r="F7" s="19"/>
      <c r="G7" s="15"/>
      <c r="H7" s="15"/>
    </row>
    <row r="8" customFormat="false" ht="23.85" hidden="false" customHeight="false" outlineLevel="0" collapsed="false">
      <c r="A8" s="14" t="s">
        <v>199</v>
      </c>
      <c r="B8" s="14" t="s">
        <v>200</v>
      </c>
      <c r="C8" s="14" t="s">
        <v>201</v>
      </c>
      <c r="D8" s="15"/>
      <c r="E8" s="15"/>
      <c r="F8" s="19"/>
      <c r="G8" s="15"/>
      <c r="H8" s="15"/>
    </row>
    <row r="9" customFormat="false" ht="23.85" hidden="false" customHeight="false" outlineLevel="0" collapsed="false">
      <c r="A9" s="14" t="s">
        <v>202</v>
      </c>
      <c r="B9" s="14" t="s">
        <v>203</v>
      </c>
      <c r="C9" s="14" t="s">
        <v>204</v>
      </c>
      <c r="D9" s="15"/>
      <c r="E9" s="15"/>
      <c r="F9" s="19"/>
      <c r="G9" s="15"/>
      <c r="H9" s="15"/>
    </row>
    <row r="10" customFormat="false" ht="15" hidden="false" customHeight="false" outlineLevel="0" collapsed="false">
      <c r="A10" s="14" t="s">
        <v>205</v>
      </c>
      <c r="B10" s="14" t="s">
        <v>206</v>
      </c>
      <c r="C10" s="14" t="s">
        <v>207</v>
      </c>
      <c r="D10" s="15"/>
      <c r="E10" s="15"/>
      <c r="F10" s="19"/>
      <c r="G10" s="15"/>
      <c r="H10" s="15"/>
    </row>
    <row r="12" customFormat="false" ht="15" hidden="false" customHeight="false" outlineLevel="0" collapsed="false">
      <c r="A12" s="2" t="s">
        <v>208</v>
      </c>
    </row>
  </sheetData>
  <conditionalFormatting sqref="H5:H10">
    <cfRule type="cellIs" priority="2" operator="equal" aboveAverage="0" equalAverage="0" bottom="0" percent="0" rank="0" text="" dxfId="1">
      <formula>"Yes"</formula>
    </cfRule>
  </conditionalFormatting>
  <dataValidations count="2">
    <dataValidation allowBlank="true" errorStyle="stop" operator="between" showDropDown="false" showErrorMessage="false" showInputMessage="false" sqref="G5:G10" type="list">
      <formula1>"Not started,Running,Done"</formula1>
      <formula2>0</formula2>
    </dataValidation>
    <dataValidation allowBlank="true" errorStyle="stop" operator="between" showDropDown="false" showErrorMessage="false" showInputMessage="false" sqref="H5:H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7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5" customFormat="false" ht="30" hidden="false" customHeight="true" outlineLevel="0" collapsed="false">
      <c r="A5" s="13" t="s">
        <v>211</v>
      </c>
      <c r="B5" s="13" t="s">
        <v>212</v>
      </c>
      <c r="C5" s="13" t="s">
        <v>123</v>
      </c>
      <c r="D5" s="13" t="s">
        <v>213</v>
      </c>
      <c r="E5" s="13" t="s">
        <v>214</v>
      </c>
      <c r="F5" s="13" t="s">
        <v>215</v>
      </c>
      <c r="G5" s="13" t="s">
        <v>216</v>
      </c>
      <c r="H5" s="13" t="s">
        <v>217</v>
      </c>
      <c r="I5" s="13" t="s">
        <v>218</v>
      </c>
      <c r="J5" s="13" t="s">
        <v>132</v>
      </c>
      <c r="K5" s="13" t="s">
        <v>43</v>
      </c>
    </row>
    <row r="6" customFormat="false" ht="23.85" hidden="false" customHeight="false" outlineLevel="0" collapsed="false">
      <c r="A6" s="17" t="s">
        <v>219</v>
      </c>
      <c r="B6" s="17" t="s">
        <v>220</v>
      </c>
      <c r="C6" s="17" t="s">
        <v>221</v>
      </c>
      <c r="D6" s="17" t="s">
        <v>222</v>
      </c>
      <c r="E6" s="17" t="s">
        <v>223</v>
      </c>
      <c r="F6" s="17" t="s">
        <v>224</v>
      </c>
      <c r="G6" s="17" t="s">
        <v>225</v>
      </c>
      <c r="H6" s="17" t="s">
        <v>226</v>
      </c>
      <c r="I6" s="17" t="s">
        <v>227</v>
      </c>
      <c r="J6" s="17" t="s">
        <v>144</v>
      </c>
      <c r="K6" s="17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</sheetData>
  <dataValidations count="2">
    <dataValidation allowBlank="true" errorStyle="stop" operator="between" showDropDown="false" showErrorMessage="false" showInputMessage="false" sqref="D6:D500" type="list">
      <formula1>"Retire,Store / WinGet,Win32 rebuild,PSADT wrap,Open"</formula1>
      <formula2>0</formula2>
    </dataValidation>
    <dataValidation allowBlank="true" errorStyle="stop" operator="between" showDropDown="false" showErrorMessage="false" showInputMessage="false" sqref="I6:I500" type="list">
      <formula1>"Active,Deployment removed,Retired,Deleted"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2026-10-01T18:58:50Z</dcterms:created>
  <dc:creator>openpyxl</dc:creator>
  <dc:description/>
  <dc:language>en-US</dc:language>
  <cp:lastModifiedBy/>
  <dcterms:modified xsi:type="dcterms:W3CDTF">2026-10-01T18:58:50Z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